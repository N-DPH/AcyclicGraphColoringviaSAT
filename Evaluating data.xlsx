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ora\Masterarbeit\Cadical_trials\"/>
    </mc:Choice>
  </mc:AlternateContent>
  <xr:revisionPtr revIDLastSave="0" documentId="13_ncr:1_{B814F7DF-1F13-4570-B07E-AC2F5A136AC4}" xr6:coauthVersionLast="47" xr6:coauthVersionMax="47" xr10:uidLastSave="{00000000-0000-0000-0000-000000000000}"/>
  <bookViews>
    <workbookView xWindow="-110" yWindow="-110" windowWidth="22180" windowHeight="14140" xr2:uid="{395CD054-5B63-4DE8-854E-9C10A8F764EC}"/>
  </bookViews>
  <sheets>
    <sheet name="Tabelle2" sheetId="4" r:id="rId1"/>
    <sheet name="log_20" sheetId="3" r:id="rId2"/>
  </sheets>
  <definedNames>
    <definedName name="ExterneDaten_1" localSheetId="1" hidden="1">log_20!$A$1:$B$21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 a="1"/>
  <c r="C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D9E2E-F3D1-4024-A867-D4E4661E2389}" keepAlive="1" name="Abfrage - log_20" description="Verbindung mit der Abfrage 'log_20' in der Arbeitsmappe." type="5" refreshedVersion="8" background="1" saveData="1">
    <dbPr connection="Provider=Microsoft.Mashup.OleDb.1;Data Source=$Workbook$;Location=log_20;Extended Properties=&quot;&quot;" command="SELECT * FROM [log_2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<sst xmlns="http://schemas.openxmlformats.org/spreadsheetml/2006/main" count="28" uniqueCount="8">
  <si>
    <t>category</t>
  </si>
  <si>
    <t>time</t>
  </si>
  <si>
    <t>n20d0.5</t>
  </si>
  <si>
    <t>Zeilenbeschriftungen</t>
  </si>
  <si>
    <t>Min. von time</t>
  </si>
  <si>
    <t>Max. von time</t>
  </si>
  <si>
    <t>median</t>
  </si>
  <si>
    <t>Median von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</si>
</sst>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3">
    <dxf>
      <numFmt numFmtId="0" formatCode="General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" refreshedDate="46210.494834490739" createdVersion="8" refreshedVersion="8" minRefreshableVersion="3" recordCount="20" xr:uid="{24E687A1-A164-42E5-AC3E-CD6B8831A4AA}">
  <cacheSource type="worksheet">
    <worksheetSource name="log_20"/>
  </cacheSource>
  <cacheFields count="3">
    <cacheField name="category" numFmtId="49">
      <sharedItems count="1">
        <s v="n20d0.5"/>
      </sharedItems>
    </cacheField>
    <cacheField name="time" numFmtId="1">
      <sharedItems containsSemiMixedTypes="0" containsString="0" containsNumber="1" containsInteger="1" minValue="1" maxValue="74"/>
    </cacheField>
    <cacheField name="median" numFmtId="0">
      <sharedItems containsSemiMixedTypes="0" containsString="0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"/>
    <n v="5"/>
  </r>
  <r>
    <x v="0"/>
    <n v="2"/>
    <n v="5"/>
  </r>
  <r>
    <x v="0"/>
    <n v="1"/>
    <n v="5"/>
  </r>
  <r>
    <x v="0"/>
    <n v="1"/>
    <n v="5"/>
  </r>
  <r>
    <x v="0"/>
    <n v="5"/>
    <n v="5"/>
  </r>
  <r>
    <x v="0"/>
    <n v="19"/>
    <n v="5"/>
  </r>
  <r>
    <x v="0"/>
    <n v="6"/>
    <n v="5"/>
  </r>
  <r>
    <x v="0"/>
    <n v="69"/>
    <n v="5"/>
  </r>
  <r>
    <x v="0"/>
    <n v="1"/>
    <n v="5"/>
  </r>
  <r>
    <x v="0"/>
    <n v="3"/>
    <n v="5"/>
  </r>
  <r>
    <x v="0"/>
    <n v="2"/>
    <n v="5"/>
  </r>
  <r>
    <x v="0"/>
    <n v="5"/>
    <n v="5"/>
  </r>
  <r>
    <x v="0"/>
    <n v="74"/>
    <n v="5"/>
  </r>
  <r>
    <x v="0"/>
    <n v="18"/>
    <n v="5"/>
  </r>
  <r>
    <x v="0"/>
    <n v="39"/>
    <n v="5"/>
  </r>
  <r>
    <x v="0"/>
    <n v="3"/>
    <n v="5"/>
  </r>
  <r>
    <x v="0"/>
    <n v="27"/>
    <n v="5"/>
  </r>
  <r>
    <x v="0"/>
    <n v="18"/>
    <n v="5"/>
  </r>
  <r>
    <x v="0"/>
    <n v="3"/>
    <n v="5"/>
  </r>
  <r>
    <x v="0"/>
    <n v="36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74D95-7D70-43F4-BB85-BCCF9F65D4FB}" name="PivotTable1" cacheId="8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>
  <location ref="A1:D2" firstHeaderRow="0" firstDataRow="1" firstDataCol="1"/>
  <pivotFields count="3">
    <pivotField axis="axisRow" showAll="0">
      <items count="2">
        <item x="0"/>
        <item t="default"/>
      </items>
    </pivotField>
    <pivotField dataField="1" numFmtId="1" showAll="0"/>
    <pivotField dataField="1" showAll="0"/>
  </pivotFields>
  <rowFields count="1">
    <field x="0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. von time" fld="1" subtotal="min" baseField="0" baseItem="0" numFmtId="1"/>
    <dataField name="Max. von time" fld="1" subtotal="max" baseField="0" baseItem="0" numFmtId="1"/>
    <dataField name="Median von tim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D1E0453-1C8D-4A53-80C3-48E90A10083E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ategory" tableColumnId="1"/>
      <queryTableField id="2" name="time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12EB0-F3A2-453E-BAFA-4D90E1E63DC5}" name="log_20" displayName="log_20" ref="A1:C21" tableType="queryTable" totalsRowShown="0">
  <autoFilter ref="A1:C21" xr:uid="{C4E12EB0-F3A2-453E-BAFA-4D90E1E63DC5}"/>
  <tableColumns count="3">
    <tableColumn id="1" xr3:uid="{41736E94-19D9-49B7-8190-BE77258EB7CB}" uniqueName="1" name="category" queryTableFieldId="1" dataDxfId="1"/>
    <tableColumn id="2" xr3:uid="{8623BEFF-30D4-4B04-B1C6-EA38836D4EC5}" uniqueName="2" name="time" queryTableFieldId="2" dataDxfId="2"/>
    <tableColumn id="3" xr3:uid="{9F000BFA-3BD0-4F79-B494-C6351B6948CB}" uniqueName="3" name="median" queryTableFieldId="3" dataDxfId="0">
      <calculatedColumnFormula array="1">MEDIAN(IF($A$2:$A$21=A2,$B$2:$B$21))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518D-6948-47AA-882A-8AEB458C1C9F}">
  <dimension ref="A1:D2"/>
  <sheetViews>
    <sheetView tabSelected="1" workbookViewId="0">
      <selection activeCell="F11" sqref="F11"/>
    </sheetView>
  </sheetViews>
  <sheetFormatPr baseColWidth="10" defaultRowHeight="14.5" x14ac:dyDescent="0.35"/>
  <cols>
    <col min="1" max="1" width="21.08984375" bestFit="1" customWidth="1"/>
    <col min="2" max="2" width="12" bestFit="1" customWidth="1"/>
    <col min="3" max="3" width="12.26953125" bestFit="1" customWidth="1"/>
    <col min="4" max="4" width="14.54296875" bestFit="1" customWidth="1"/>
    <col min="5" max="5" width="19.7265625" bestFit="1" customWidth="1"/>
    <col min="6" max="6" width="24.36328125" bestFit="1" customWidth="1"/>
  </cols>
  <sheetData>
    <row r="1" spans="1:4" x14ac:dyDescent="0.35">
      <c r="A1" s="4" t="s">
        <v>3</v>
      </c>
      <c r="B1" t="s">
        <v>4</v>
      </c>
      <c r="C1" t="s">
        <v>5</v>
      </c>
      <c r="D1" t="s">
        <v>7</v>
      </c>
    </row>
    <row r="2" spans="1:4" x14ac:dyDescent="0.35">
      <c r="A2" s="5" t="s">
        <v>2</v>
      </c>
      <c r="B2" s="2">
        <v>1</v>
      </c>
      <c r="C2" s="2">
        <v>74</v>
      </c>
      <c r="D2" s="1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5F16-3527-4961-BCB4-488F639790A9}">
  <dimension ref="A1:C21"/>
  <sheetViews>
    <sheetView workbookViewId="0">
      <selection activeCell="C3" sqref="C3"/>
    </sheetView>
  </sheetViews>
  <sheetFormatPr baseColWidth="10" defaultRowHeight="14.5" x14ac:dyDescent="0.35"/>
  <cols>
    <col min="1" max="1" width="10.1796875" bestFit="1" customWidth="1"/>
    <col min="2" max="2" width="6.90625" bestFit="1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s="3" t="s">
        <v>2</v>
      </c>
      <c r="B2" s="2">
        <v>4</v>
      </c>
      <c r="C2" cm="1">
        <f t="array" ref="C2">MEDIAN(IF($A$2:$A$21=A2,$B$2:$B$21))</f>
        <v>5</v>
      </c>
    </row>
    <row r="3" spans="1:3" x14ac:dyDescent="0.35">
      <c r="A3" s="3" t="s">
        <v>2</v>
      </c>
      <c r="B3" s="2">
        <v>2</v>
      </c>
      <c r="C3" cm="1">
        <f t="array" ref="C3">MEDIAN(IF($A$2:$A$21=A3,$B$2:$B$21))</f>
        <v>5</v>
      </c>
    </row>
    <row r="4" spans="1:3" x14ac:dyDescent="0.35">
      <c r="A4" s="3" t="s">
        <v>2</v>
      </c>
      <c r="B4" s="2">
        <v>1</v>
      </c>
      <c r="C4" cm="1">
        <f t="array" ref="C4">MEDIAN(IF($A$2:$A$21=A4,$B$2:$B$21))</f>
        <v>5</v>
      </c>
    </row>
    <row r="5" spans="1:3" x14ac:dyDescent="0.35">
      <c r="A5" s="3" t="s">
        <v>2</v>
      </c>
      <c r="B5" s="2">
        <v>1</v>
      </c>
      <c r="C5" cm="1">
        <f t="array" ref="C5">MEDIAN(IF($A$2:$A$21=A5,$B$2:$B$21))</f>
        <v>5</v>
      </c>
    </row>
    <row r="6" spans="1:3" x14ac:dyDescent="0.35">
      <c r="A6" s="3" t="s">
        <v>2</v>
      </c>
      <c r="B6" s="2">
        <v>5</v>
      </c>
      <c r="C6" cm="1">
        <f t="array" ref="C6">MEDIAN(IF($A$2:$A$21=A6,$B$2:$B$21))</f>
        <v>5</v>
      </c>
    </row>
    <row r="7" spans="1:3" x14ac:dyDescent="0.35">
      <c r="A7" s="3" t="s">
        <v>2</v>
      </c>
      <c r="B7" s="2">
        <v>19</v>
      </c>
      <c r="C7" cm="1">
        <f t="array" ref="C7">MEDIAN(IF($A$2:$A$21=A7,$B$2:$B$21))</f>
        <v>5</v>
      </c>
    </row>
    <row r="8" spans="1:3" x14ac:dyDescent="0.35">
      <c r="A8" s="3" t="s">
        <v>2</v>
      </c>
      <c r="B8" s="2">
        <v>6</v>
      </c>
      <c r="C8" cm="1">
        <f t="array" ref="C8">MEDIAN(IF($A$2:$A$21=A8,$B$2:$B$21))</f>
        <v>5</v>
      </c>
    </row>
    <row r="9" spans="1:3" x14ac:dyDescent="0.35">
      <c r="A9" s="3" t="s">
        <v>2</v>
      </c>
      <c r="B9" s="2">
        <v>69</v>
      </c>
      <c r="C9" cm="1">
        <f t="array" ref="C9">MEDIAN(IF($A$2:$A$21=A9,$B$2:$B$21))</f>
        <v>5</v>
      </c>
    </row>
    <row r="10" spans="1:3" x14ac:dyDescent="0.35">
      <c r="A10" s="3" t="s">
        <v>2</v>
      </c>
      <c r="B10" s="2">
        <v>1</v>
      </c>
      <c r="C10" cm="1">
        <f t="array" ref="C10">MEDIAN(IF($A$2:$A$21=A10,$B$2:$B$21))</f>
        <v>5</v>
      </c>
    </row>
    <row r="11" spans="1:3" x14ac:dyDescent="0.35">
      <c r="A11" s="3" t="s">
        <v>2</v>
      </c>
      <c r="B11" s="2">
        <v>3</v>
      </c>
      <c r="C11" cm="1">
        <f t="array" ref="C11">MEDIAN(IF($A$2:$A$21=A11,$B$2:$B$21))</f>
        <v>5</v>
      </c>
    </row>
    <row r="12" spans="1:3" x14ac:dyDescent="0.35">
      <c r="A12" s="3" t="s">
        <v>2</v>
      </c>
      <c r="B12" s="2">
        <v>2</v>
      </c>
      <c r="C12" cm="1">
        <f t="array" ref="C12">MEDIAN(IF($A$2:$A$21=A12,$B$2:$B$21))</f>
        <v>5</v>
      </c>
    </row>
    <row r="13" spans="1:3" x14ac:dyDescent="0.35">
      <c r="A13" s="3" t="s">
        <v>2</v>
      </c>
      <c r="B13" s="2">
        <v>5</v>
      </c>
      <c r="C13" cm="1">
        <f t="array" ref="C13">MEDIAN(IF($A$2:$A$21=A13,$B$2:$B$21))</f>
        <v>5</v>
      </c>
    </row>
    <row r="14" spans="1:3" x14ac:dyDescent="0.35">
      <c r="A14" s="3" t="s">
        <v>2</v>
      </c>
      <c r="B14" s="2">
        <v>74</v>
      </c>
      <c r="C14" cm="1">
        <f t="array" ref="C14">MEDIAN(IF($A$2:$A$21=A14,$B$2:$B$21))</f>
        <v>5</v>
      </c>
    </row>
    <row r="15" spans="1:3" x14ac:dyDescent="0.35">
      <c r="A15" s="3" t="s">
        <v>2</v>
      </c>
      <c r="B15" s="2">
        <v>18</v>
      </c>
      <c r="C15" cm="1">
        <f t="array" ref="C15">MEDIAN(IF($A$2:$A$21=A15,$B$2:$B$21))</f>
        <v>5</v>
      </c>
    </row>
    <row r="16" spans="1:3" x14ac:dyDescent="0.35">
      <c r="A16" s="3" t="s">
        <v>2</v>
      </c>
      <c r="B16" s="2">
        <v>39</v>
      </c>
      <c r="C16" cm="1">
        <f t="array" ref="C16">MEDIAN(IF($A$2:$A$21=A16,$B$2:$B$21))</f>
        <v>5</v>
      </c>
    </row>
    <row r="17" spans="1:3" x14ac:dyDescent="0.35">
      <c r="A17" s="3" t="s">
        <v>2</v>
      </c>
      <c r="B17" s="2">
        <v>3</v>
      </c>
      <c r="C17" cm="1">
        <f t="array" ref="C17">MEDIAN(IF($A$2:$A$21=A17,$B$2:$B$21))</f>
        <v>5</v>
      </c>
    </row>
    <row r="18" spans="1:3" x14ac:dyDescent="0.35">
      <c r="A18" s="3" t="s">
        <v>2</v>
      </c>
      <c r="B18" s="2">
        <v>27</v>
      </c>
      <c r="C18" cm="1">
        <f t="array" ref="C18">MEDIAN(IF($A$2:$A$21=A18,$B$2:$B$21))</f>
        <v>5</v>
      </c>
    </row>
    <row r="19" spans="1:3" x14ac:dyDescent="0.35">
      <c r="A19" s="3" t="s">
        <v>2</v>
      </c>
      <c r="B19" s="2">
        <v>18</v>
      </c>
      <c r="C19" cm="1">
        <f t="array" ref="C19">MEDIAN(IF($A$2:$A$21=A19,$B$2:$B$21))</f>
        <v>5</v>
      </c>
    </row>
    <row r="20" spans="1:3" x14ac:dyDescent="0.35">
      <c r="A20" s="3" t="s">
        <v>2</v>
      </c>
      <c r="B20" s="2">
        <v>3</v>
      </c>
      <c r="C20" cm="1">
        <f t="array" ref="C20">MEDIAN(IF($A$2:$A$21=A20,$B$2:$B$21))</f>
        <v>5</v>
      </c>
    </row>
    <row r="21" spans="1:3" x14ac:dyDescent="0.35">
      <c r="A21" s="3" t="s">
        <v>2</v>
      </c>
      <c r="B21" s="2">
        <v>36</v>
      </c>
      <c r="C21" cm="1">
        <f t="array" ref="C21">MEDIAN(IF($A$2:$A$21=A21,$B$2:$B$21))</f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6192D-5A24-4789-9811-F543129D8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log_20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traufest-flamersheim</dc:creator>
  <cp:lastModifiedBy>traufest-flamersheim</cp:lastModifiedBy>
  <dcterms:created xsi:type="dcterms:W3CDTF">2026-07-07T09:30:25Z</dcterms:created>
  <dcterms:modified xsi:type="dcterms:W3CDTF">2026-07-07T09:53:24Z</dcterms:modified>
</cp:coreProperties>
</file>